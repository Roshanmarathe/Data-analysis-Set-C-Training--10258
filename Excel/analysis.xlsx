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a4ee5adadcd17/Desktop/Training_Analysisi/Excel/"/>
    </mc:Choice>
  </mc:AlternateContent>
  <xr:revisionPtr revIDLastSave="0" documentId="8_{BA184809-663C-4BEF-9947-0C127F3E4EF1}" xr6:coauthVersionLast="47" xr6:coauthVersionMax="47" xr10:uidLastSave="{00000000-0000-0000-0000-000000000000}"/>
  <bookViews>
    <workbookView xWindow="-108" yWindow="-108" windowWidth="23256" windowHeight="12456" activeTab="3" xr2:uid="{FCC8BF52-E64E-416F-BFEC-494DCBB02D95}"/>
  </bookViews>
  <sheets>
    <sheet name="Raw" sheetId="7" r:id="rId1"/>
    <sheet name="lookup" sheetId="2" r:id="rId2"/>
    <sheet name="clean" sheetId="3" r:id="rId3"/>
    <sheet name="summary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/>
  <c r="E17" i="3"/>
  <c r="C17" i="3"/>
  <c r="G2" i="3"/>
  <c r="H2" i="3"/>
  <c r="B3" i="5"/>
  <c r="B4" i="5"/>
  <c r="H3" i="3"/>
  <c r="H4" i="3"/>
  <c r="H5" i="3"/>
  <c r="H6" i="3"/>
  <c r="H7" i="3"/>
  <c r="H8" i="3"/>
  <c r="H9" i="3"/>
  <c r="H10" i="3"/>
  <c r="H11" i="3"/>
  <c r="H12" i="3"/>
  <c r="H13" i="3"/>
  <c r="G3" i="3"/>
  <c r="G4" i="3"/>
  <c r="G5" i="3"/>
  <c r="G6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<sst xmlns="http://schemas.openxmlformats.org/spreadsheetml/2006/main" count="123" uniqueCount="39">
  <si>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</si>
  <si>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</si>
  <si>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</si>
  <si>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</si>
  <si>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</si>
  <si>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</si>
  <si>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</si>
  <si>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</si>
  <si>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</si>
  <si>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</si>
  <si>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</si>
  <si>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</si>
  <si>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</si>
  <si>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</si>
  <si>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</si>
  <si>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</si>
  <si>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</si>
  <si>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</si>
  <si>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</si>
  <si>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</si>
  <si>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</si>
  <si>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</si>
  <si>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</si>
  <si>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</si>
  <si>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Department</t>
  </si>
  <si>
    <t>pass_flag</t>
  </si>
  <si>
    <t>Batch</t>
  </si>
  <si>
    <t>morning</t>
  </si>
  <si>
    <t>evening</t>
  </si>
  <si>
    <t>weekend</t>
  </si>
  <si>
    <t>passing assessments</t>
  </si>
  <si>
    <t>`</t>
  </si>
  <si>
    <t>Column Labels</t>
  </si>
  <si>
    <t>Grand Total</t>
  </si>
  <si>
    <t>Row Labels</t>
  </si>
  <si>
    <t>Average of score</t>
  </si>
  <si>
    <t>BEFORE AND AFTER (ROWS)</t>
  </si>
  <si>
    <t xml:space="preserve">BEFORE 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</si>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</sst>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summary!$E$1:$E$2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summary!$D$3:$D$5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summary!$E$3:$E$5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5-4CE7-9923-1596B3AC0907}"/>
            </c:ext>
          </c:extLst>
        </c:ser>
        <c:ser>
          <c:idx val="1"/>
          <c:order val="1"/>
          <c:tx>
            <c:strRef>
              <c:f>summary!$F$1:$F$2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summary!$D$3:$D$5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summary!$F$3:$F$5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5-4CE7-9923-1596B3AC0907}"/>
            </c:ext>
          </c:extLst>
        </c:ser>
        <c:ser>
          <c:idx val="2"/>
          <c:order val="2"/>
          <c:tx>
            <c:strRef>
              <c:f>summary!$G$1:$G$2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summary!$D$3:$D$5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summary!$G$3:$G$5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25-4CE7-9923-1596B3AC090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918688"/>
        <c:axId val="584917728"/>
      </c:barChart>
      <c:catAx>
        <c:axId val="58491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17728"/>
        <c:crosses val="autoZero"/>
        <c:auto val="1"/>
        <c:lblAlgn val="ctr"/>
        <c:lblOffset val="100"/>
        <c:noMultiLvlLbl val="0"/>
      </c:catAx>
      <c:valAx>
        <c:axId val="5849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1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179340</xdr:rowOff>
    </xdr:from>
    <xdr:to>
      <xdr:col>5</xdr:col>
      <xdr:colOff>372690</xdr:colOff>
      <xdr:row>27</xdr:row>
      <xdr:rowOff>122434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964AE-6C7C-DFDD-514F-A1DF54B31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" refreshedDate="46290.354170023151" createdVersion="8" refreshedVersion="8" minRefreshableVersion="3" recordCount="12" xr:uid="{D789E06F-61C0-4484-A6DA-89DC78708B49}">
  <cacheSource type="worksheet">
    <worksheetSource ref="A1:H13" sheet="clean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74F41-A3F3-4561-889E-2D4D5F2F8F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:H5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6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C711F-56E3-4542-A700-E721188FFEAE}" name="Table1" displayName="Table1" ref="A1:H13" totalsRowShown="0" headerRowDxfId="25" dataDxfId="26" headerRowBorderDxfId="36" tableBorderDxfId="37" totalsRowBorderDxfId="35">
  <autoFilter ref="A1:H13" xr:uid="{816C711F-56E3-4542-A700-E721188FFEAE}"/>
  <tableColumns count="8">
    <tableColumn id="1" xr3:uid="{CB2AE0C3-7E18-4BEC-BDA4-87EEEA92C807}" name="assessment_id" dataDxfId="34"/>
    <tableColumn id="2" xr3:uid="{4985BA21-642F-4B7A-B9BF-1091EC268D04}" name="month" dataDxfId="33"/>
    <tableColumn id="3" xr3:uid="{F95E4709-D3B3-44E3-AC43-AA1893A29FE0}" name="course_id" dataDxfId="32"/>
    <tableColumn id="4" xr3:uid="{8409D752-FE9D-4D72-A179-BE9C6B41C7D7}" name="batch" dataDxfId="31"/>
    <tableColumn id="5" xr3:uid="{E690C1F6-EEE6-4A00-80B6-B1683B0E1355}" name="score" dataDxfId="30"/>
    <tableColumn id="6" xr3:uid="{D71F54A2-E50B-4815-AD23-9A4714428343}" name="attendance_pct" dataDxfId="29"/>
    <tableColumn id="7" xr3:uid="{D2BA86A8-C900-4FF6-A21E-A7C7D1C78254}" name="Department" dataDxfId="28">
      <calculatedColumnFormula>_xlfn.XLOOKUP(C2,lookup!$A$2:$A$5,lookup!$C$2:$C$5)</calculatedColumnFormula>
    </tableColumn>
    <tableColumn id="8" xr3:uid="{70ECFC57-53EE-4940-9651-463A37072F23}" name="pass_flag" dataDxfId="27">
      <calculatedColumnFormula>IF(E2&gt;=50,1,0)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CAF3C-5E55-4E60-891B-B2B8FC253D8C}" name="Table2" displayName="Table2" ref="A1:B4" totalsRowShown="0" headerRowBorderDxfId="23" tableBorderDxfId="24" totalsRowBorderDxfId="22">
  <autoFilter ref="A1:B4" xr:uid="{8D8CAF3C-5E55-4E60-891B-B2B8FC253D8C}"/>
  <tableColumns count="2">
    <tableColumn id="1" xr3:uid="{FF526251-933F-41DE-9705-CDCE41413721}" name="Batch" dataDxfId="21"/>
    <tableColumn id="2" xr3:uid="{7C1E3520-E627-421E-86A1-121320615E5B}" name="passing assessments" dataDxfId="20">
      <calculatedColumnFormula>COUNTIFS(clean!D:D,A2,clean!H:H,1)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EFF8-4A20-4B3D-8B60-AAFD52A8AA5B}">
  <dimension ref="A1:F14"/>
  <sheetViews>
    <sheetView workbookViewId="0">
      <selection activeCell="H8" sqref="H8"/>
    </sheetView>
  </sheetViews>
  <sheetFormatPr defaultRowHeight="14.4" x14ac:dyDescent="0.3"/>
  <cols>
    <col min="6" max="6" width="1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72</v>
      </c>
      <c r="F2" s="1">
        <v>90</v>
      </c>
    </row>
    <row r="3" spans="1:6" x14ac:dyDescent="0.3">
      <c r="A3" s="1">
        <v>2</v>
      </c>
      <c r="B3" s="1" t="s">
        <v>6</v>
      </c>
      <c r="C3" s="1" t="s">
        <v>9</v>
      </c>
      <c r="D3" s="1" t="s">
        <v>10</v>
      </c>
      <c r="E3" s="1">
        <v>45</v>
      </c>
      <c r="F3" s="1">
        <v>70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8</v>
      </c>
      <c r="E4" s="1">
        <v>65</v>
      </c>
      <c r="F4" s="1">
        <v>85</v>
      </c>
    </row>
    <row r="5" spans="1:6" x14ac:dyDescent="0.3">
      <c r="A5" s="1">
        <v>4</v>
      </c>
      <c r="B5" s="1" t="s">
        <v>6</v>
      </c>
      <c r="C5" s="1" t="s">
        <v>12</v>
      </c>
      <c r="D5" s="1" t="s">
        <v>13</v>
      </c>
      <c r="E5" s="1">
        <v>38</v>
      </c>
      <c r="F5" s="1">
        <v>60</v>
      </c>
    </row>
    <row r="6" spans="1:6" x14ac:dyDescent="0.3">
      <c r="A6" s="1">
        <v>5</v>
      </c>
      <c r="B6" s="1" t="s">
        <v>14</v>
      </c>
      <c r="C6" s="1" t="s">
        <v>7</v>
      </c>
      <c r="D6" s="1" t="s">
        <v>10</v>
      </c>
      <c r="E6" s="1">
        <v>80</v>
      </c>
      <c r="F6" s="1">
        <v>95</v>
      </c>
    </row>
    <row r="7" spans="1:6" x14ac:dyDescent="0.3">
      <c r="A7" s="1">
        <v>6</v>
      </c>
      <c r="B7" s="1" t="s">
        <v>14</v>
      </c>
      <c r="C7" s="1" t="s">
        <v>9</v>
      </c>
      <c r="D7" s="1" t="s">
        <v>13</v>
      </c>
      <c r="E7" s="1">
        <v>55</v>
      </c>
      <c r="F7" s="1">
        <v>80</v>
      </c>
    </row>
    <row r="8" spans="1:6" x14ac:dyDescent="0.3">
      <c r="A8" s="1">
        <v>7</v>
      </c>
      <c r="B8" s="1" t="s">
        <v>14</v>
      </c>
      <c r="C8" s="1" t="s">
        <v>11</v>
      </c>
      <c r="D8" s="1" t="s">
        <v>8</v>
      </c>
      <c r="E8" s="1">
        <v>48</v>
      </c>
      <c r="F8" s="1">
        <v>75</v>
      </c>
    </row>
    <row r="9" spans="1:6" x14ac:dyDescent="0.3">
      <c r="A9" s="1">
        <v>8</v>
      </c>
      <c r="B9" s="1" t="s">
        <v>14</v>
      </c>
      <c r="C9" s="1" t="s">
        <v>12</v>
      </c>
      <c r="D9" s="1" t="s">
        <v>10</v>
      </c>
      <c r="E9" s="1">
        <v>68</v>
      </c>
      <c r="F9" s="1">
        <v>88</v>
      </c>
    </row>
    <row r="10" spans="1:6" x14ac:dyDescent="0.3">
      <c r="A10" s="1">
        <v>9</v>
      </c>
      <c r="B10" s="1" t="s">
        <v>15</v>
      </c>
      <c r="C10" s="1" t="s">
        <v>7</v>
      </c>
      <c r="D10" s="1" t="s">
        <v>13</v>
      </c>
      <c r="E10" s="1">
        <v>90</v>
      </c>
      <c r="F10" s="1">
        <v>98</v>
      </c>
    </row>
    <row r="11" spans="1:6" x14ac:dyDescent="0.3">
      <c r="A11" s="1">
        <v>10</v>
      </c>
      <c r="B11" s="1" t="s">
        <v>15</v>
      </c>
      <c r="C11" s="1" t="s">
        <v>9</v>
      </c>
      <c r="D11" s="1" t="s">
        <v>8</v>
      </c>
      <c r="E11" s="1">
        <v>60</v>
      </c>
      <c r="F11" s="1">
        <v>82</v>
      </c>
    </row>
    <row r="12" spans="1:6" x14ac:dyDescent="0.3">
      <c r="A12" s="1">
        <v>11</v>
      </c>
      <c r="B12" s="1" t="s">
        <v>15</v>
      </c>
      <c r="C12" s="1" t="s">
        <v>11</v>
      </c>
      <c r="D12" s="1" t="s">
        <v>10</v>
      </c>
      <c r="E12" s="1">
        <v>75</v>
      </c>
      <c r="F12" s="1">
        <v>92</v>
      </c>
    </row>
    <row r="13" spans="1:6" x14ac:dyDescent="0.3">
      <c r="A13" s="1">
        <v>12</v>
      </c>
      <c r="B13" s="1" t="s">
        <v>15</v>
      </c>
      <c r="C13" s="1" t="s">
        <v>12</v>
      </c>
      <c r="D13" s="1" t="s">
        <v>13</v>
      </c>
      <c r="E13" s="1">
        <v>42</v>
      </c>
      <c r="F13" s="1">
        <v>65</v>
      </c>
    </row>
    <row r="14" spans="1:6" x14ac:dyDescent="0.3">
      <c r="A14" s="1">
        <v>12</v>
      </c>
      <c r="B14" s="1" t="s">
        <v>15</v>
      </c>
      <c r="C14" s="1" t="s">
        <v>12</v>
      </c>
      <c r="D14" s="1" t="s">
        <v>13</v>
      </c>
      <c r="E14" s="1">
        <v>42</v>
      </c>
      <c r="F14" s="1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558-C1CA-4A1A-8100-D7906A4A663C}">
  <dimension ref="A1:C5"/>
  <sheetViews>
    <sheetView workbookViewId="0">
      <selection activeCell="B15" sqref="B15"/>
    </sheetView>
  </sheetViews>
  <sheetFormatPr defaultRowHeight="14.4" x14ac:dyDescent="0.3"/>
  <cols>
    <col min="3" max="3" width="15.21875" customWidth="1"/>
  </cols>
  <sheetData>
    <row r="1" spans="1:3" x14ac:dyDescent="0.3">
      <c r="A1" s="1" t="s">
        <v>2</v>
      </c>
      <c r="B1" s="1" t="s">
        <v>16</v>
      </c>
      <c r="C1" s="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12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168A-BAEA-4EB3-810E-65836E0469A7}">
  <dimension ref="A1:I17"/>
  <sheetViews>
    <sheetView zoomScale="133" workbookViewId="0">
      <selection activeCell="B20" sqref="B20"/>
    </sheetView>
  </sheetViews>
  <sheetFormatPr defaultRowHeight="14.4" x14ac:dyDescent="0.3"/>
  <cols>
    <col min="1" max="1" width="14.6640625" customWidth="1"/>
    <col min="2" max="2" width="7.5546875" customWidth="1"/>
    <col min="3" max="3" width="10.21875" customWidth="1"/>
    <col min="6" max="6" width="15.33203125" customWidth="1"/>
    <col min="7" max="7" width="12.21875" customWidth="1"/>
    <col min="8" max="8" width="10" customWidth="1"/>
  </cols>
  <sheetData>
    <row r="1" spans="1:9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24</v>
      </c>
      <c r="H1" s="11" t="s">
        <v>25</v>
      </c>
    </row>
    <row r="2" spans="1:9" x14ac:dyDescent="0.3">
      <c r="A2" s="6">
        <v>1</v>
      </c>
      <c r="B2" s="1" t="s">
        <v>6</v>
      </c>
      <c r="C2" s="1" t="s">
        <v>7</v>
      </c>
      <c r="D2" s="1" t="s">
        <v>8</v>
      </c>
      <c r="E2" s="1">
        <v>72</v>
      </c>
      <c r="F2" s="1">
        <v>90</v>
      </c>
      <c r="G2" s="3" t="str">
        <f>_xlfn.XLOOKUP(C2,lookup!$A$2:$A$5,lookup!$C$2:$C$5)</f>
        <v>Business</v>
      </c>
      <c r="H2" s="7">
        <f>IF(E2&gt;=50,1,0)</f>
        <v>1</v>
      </c>
      <c r="I2" s="2"/>
    </row>
    <row r="3" spans="1:9" x14ac:dyDescent="0.3">
      <c r="A3" s="6">
        <v>2</v>
      </c>
      <c r="B3" s="1" t="s">
        <v>6</v>
      </c>
      <c r="C3" s="1" t="s">
        <v>9</v>
      </c>
      <c r="D3" s="1" t="s">
        <v>10</v>
      </c>
      <c r="E3" s="1">
        <v>45</v>
      </c>
      <c r="F3" s="1">
        <v>70</v>
      </c>
      <c r="G3" s="3" t="str">
        <f>_xlfn.XLOOKUP(C3,lookup!$A$2:$A$5,lookup!$C$2:$C$5)</f>
        <v>Business</v>
      </c>
      <c r="H3" s="7">
        <f t="shared" ref="H3:H13" si="0">IF(E3&gt;=50,1,0)</f>
        <v>0</v>
      </c>
    </row>
    <row r="4" spans="1:9" x14ac:dyDescent="0.3">
      <c r="A4" s="6">
        <v>3</v>
      </c>
      <c r="B4" s="1" t="s">
        <v>6</v>
      </c>
      <c r="C4" s="1" t="s">
        <v>11</v>
      </c>
      <c r="D4" s="1" t="s">
        <v>8</v>
      </c>
      <c r="E4" s="1">
        <v>65</v>
      </c>
      <c r="F4" s="1">
        <v>85</v>
      </c>
      <c r="G4" s="3" t="str">
        <f>_xlfn.XLOOKUP(C4,lookup!$A$2:$A$5,lookup!$C$2:$C$5)</f>
        <v>Technology</v>
      </c>
      <c r="H4" s="7">
        <f t="shared" si="0"/>
        <v>1</v>
      </c>
    </row>
    <row r="5" spans="1:9" x14ac:dyDescent="0.3">
      <c r="A5" s="6">
        <v>4</v>
      </c>
      <c r="B5" s="1" t="s">
        <v>6</v>
      </c>
      <c r="C5" s="1" t="s">
        <v>12</v>
      </c>
      <c r="D5" s="1" t="s">
        <v>13</v>
      </c>
      <c r="E5" s="1">
        <v>38</v>
      </c>
      <c r="F5" s="1">
        <v>60</v>
      </c>
      <c r="G5" s="3" t="str">
        <f>_xlfn.XLOOKUP(C5,lookup!$A$2:$A$5,lookup!$C$2:$C$5)</f>
        <v>Technology</v>
      </c>
      <c r="H5" s="7">
        <f t="shared" si="0"/>
        <v>0</v>
      </c>
    </row>
    <row r="6" spans="1:9" x14ac:dyDescent="0.3">
      <c r="A6" s="6">
        <v>5</v>
      </c>
      <c r="B6" s="1" t="s">
        <v>14</v>
      </c>
      <c r="C6" s="1" t="s">
        <v>7</v>
      </c>
      <c r="D6" s="1" t="s">
        <v>10</v>
      </c>
      <c r="E6" s="1">
        <v>80</v>
      </c>
      <c r="F6" s="1">
        <v>95</v>
      </c>
      <c r="G6" s="3" t="str">
        <f>_xlfn.XLOOKUP(C6,lookup!$A$2:$A$5,lookup!$C$2:$C$5)</f>
        <v>Business</v>
      </c>
      <c r="H6" s="7">
        <f t="shared" si="0"/>
        <v>1</v>
      </c>
    </row>
    <row r="7" spans="1:9" x14ac:dyDescent="0.3">
      <c r="A7" s="6">
        <v>6</v>
      </c>
      <c r="B7" s="1" t="s">
        <v>14</v>
      </c>
      <c r="C7" s="1" t="s">
        <v>9</v>
      </c>
      <c r="D7" s="1" t="s">
        <v>13</v>
      </c>
      <c r="E7" s="1">
        <v>55</v>
      </c>
      <c r="F7" s="1">
        <v>80</v>
      </c>
      <c r="G7" s="3" t="str">
        <f>_xlfn.XLOOKUP(C7,lookup!$A$2:$A$5,lookup!$C$2:$C$5)</f>
        <v>Business</v>
      </c>
      <c r="H7" s="7">
        <f t="shared" si="0"/>
        <v>1</v>
      </c>
    </row>
    <row r="8" spans="1:9" x14ac:dyDescent="0.3">
      <c r="A8" s="6">
        <v>7</v>
      </c>
      <c r="B8" s="1" t="s">
        <v>14</v>
      </c>
      <c r="C8" s="1" t="s">
        <v>11</v>
      </c>
      <c r="D8" s="1" t="s">
        <v>8</v>
      </c>
      <c r="E8" s="1">
        <v>48</v>
      </c>
      <c r="F8" s="1">
        <v>75</v>
      </c>
      <c r="G8" s="3" t="str">
        <f>_xlfn.XLOOKUP(C8,lookup!$A$2:$A$5,lookup!$C$2:$C$5)</f>
        <v>Technology</v>
      </c>
      <c r="H8" s="7">
        <f t="shared" si="0"/>
        <v>0</v>
      </c>
    </row>
    <row r="9" spans="1:9" x14ac:dyDescent="0.3">
      <c r="A9" s="6">
        <v>8</v>
      </c>
      <c r="B9" s="1" t="s">
        <v>14</v>
      </c>
      <c r="C9" s="1" t="s">
        <v>12</v>
      </c>
      <c r="D9" s="1" t="s">
        <v>10</v>
      </c>
      <c r="E9" s="1">
        <v>68</v>
      </c>
      <c r="F9" s="1">
        <v>88</v>
      </c>
      <c r="G9" s="3" t="str">
        <f>_xlfn.XLOOKUP(C9,lookup!$A$2:$A$5,lookup!$C$2:$C$5)</f>
        <v>Technology</v>
      </c>
      <c r="H9" s="7">
        <f t="shared" si="0"/>
        <v>1</v>
      </c>
    </row>
    <row r="10" spans="1:9" x14ac:dyDescent="0.3">
      <c r="A10" s="6">
        <v>9</v>
      </c>
      <c r="B10" s="1" t="s">
        <v>15</v>
      </c>
      <c r="C10" s="1" t="s">
        <v>7</v>
      </c>
      <c r="D10" s="1" t="s">
        <v>13</v>
      </c>
      <c r="E10" s="1">
        <v>90</v>
      </c>
      <c r="F10" s="1">
        <v>98</v>
      </c>
      <c r="G10" s="3" t="str">
        <f>_xlfn.XLOOKUP(C10,lookup!$A$2:$A$5,lookup!$C$2:$C$5)</f>
        <v>Business</v>
      </c>
      <c r="H10" s="7">
        <f t="shared" si="0"/>
        <v>1</v>
      </c>
    </row>
    <row r="11" spans="1:9" x14ac:dyDescent="0.3">
      <c r="A11" s="6">
        <v>10</v>
      </c>
      <c r="B11" s="1" t="s">
        <v>15</v>
      </c>
      <c r="C11" s="1" t="s">
        <v>9</v>
      </c>
      <c r="D11" s="1" t="s">
        <v>8</v>
      </c>
      <c r="E11" s="1">
        <v>60</v>
      </c>
      <c r="F11" s="1">
        <v>82</v>
      </c>
      <c r="G11" s="3" t="str">
        <f>_xlfn.XLOOKUP(C11,lookup!$A$2:$A$5,lookup!$C$2:$C$5)</f>
        <v>Business</v>
      </c>
      <c r="H11" s="7">
        <f t="shared" si="0"/>
        <v>1</v>
      </c>
    </row>
    <row r="12" spans="1:9" x14ac:dyDescent="0.3">
      <c r="A12" s="6">
        <v>11</v>
      </c>
      <c r="B12" s="1" t="s">
        <v>15</v>
      </c>
      <c r="C12" s="1" t="s">
        <v>11</v>
      </c>
      <c r="D12" s="1" t="s">
        <v>10</v>
      </c>
      <c r="E12" s="1">
        <v>75</v>
      </c>
      <c r="F12" s="1">
        <v>92</v>
      </c>
      <c r="G12" s="3" t="str">
        <f>_xlfn.XLOOKUP(C12,lookup!$A$2:$A$5,lookup!$C$2:$C$5)</f>
        <v>Technology</v>
      </c>
      <c r="H12" s="7">
        <f t="shared" si="0"/>
        <v>1</v>
      </c>
    </row>
    <row r="13" spans="1:9" x14ac:dyDescent="0.3">
      <c r="A13" s="12">
        <v>12</v>
      </c>
      <c r="B13" s="13" t="s">
        <v>15</v>
      </c>
      <c r="C13" s="13" t="s">
        <v>12</v>
      </c>
      <c r="D13" s="13" t="s">
        <v>13</v>
      </c>
      <c r="E13" s="13">
        <v>42</v>
      </c>
      <c r="F13" s="13">
        <v>65</v>
      </c>
      <c r="G13" s="14" t="str">
        <f>_xlfn.XLOOKUP(C13,lookup!$A$2:$A$5,lookup!$C$2:$C$5)</f>
        <v>Technology</v>
      </c>
      <c r="H13" s="15">
        <f t="shared" si="0"/>
        <v>0</v>
      </c>
    </row>
    <row r="15" spans="1:9" x14ac:dyDescent="0.3">
      <c r="C15" s="4" t="s">
        <v>36</v>
      </c>
      <c r="D15" s="4"/>
      <c r="E15" s="4"/>
      <c r="F15" s="4"/>
    </row>
    <row r="16" spans="1:9" x14ac:dyDescent="0.3">
      <c r="C16" s="5" t="s">
        <v>37</v>
      </c>
      <c r="D16" s="5"/>
      <c r="E16" s="5" t="s">
        <v>38</v>
      </c>
      <c r="F16" s="5"/>
    </row>
    <row r="17" spans="3:6" x14ac:dyDescent="0.3">
      <c r="C17" s="5">
        <f>ROWS(Raw!A2:F14)</f>
        <v>13</v>
      </c>
      <c r="D17" s="5"/>
      <c r="E17" s="5">
        <f xml:space="preserve">  ROWS(A2:H13)</f>
        <v>12</v>
      </c>
      <c r="F17" s="5"/>
    </row>
  </sheetData>
  <mergeCells count="5">
    <mergeCell ref="C15:F15"/>
    <mergeCell ref="C16:D16"/>
    <mergeCell ref="E16:F16"/>
    <mergeCell ref="C17:D17"/>
    <mergeCell ref="E17:F1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35E-5916-435C-BCE1-4D1CCEFC440F}">
  <dimension ref="A1:I8"/>
  <sheetViews>
    <sheetView tabSelected="1" zoomScale="99" zoomScaleNormal="99" workbookViewId="0">
      <selection activeCell="G26" sqref="G26"/>
    </sheetView>
  </sheetViews>
  <sheetFormatPr defaultRowHeight="14.4" x14ac:dyDescent="0.3"/>
  <cols>
    <col min="2" max="2" width="22" customWidth="1"/>
    <col min="4" max="4" width="14.5546875" bestFit="1" customWidth="1"/>
    <col min="5" max="5" width="15.5546875" bestFit="1" customWidth="1"/>
    <col min="6" max="7" width="6" bestFit="1" customWidth="1"/>
    <col min="8" max="8" width="10.5546875" bestFit="1" customWidth="1"/>
  </cols>
  <sheetData>
    <row r="1" spans="1:9" x14ac:dyDescent="0.3">
      <c r="A1" s="16" t="s">
        <v>26</v>
      </c>
      <c r="B1" s="17" t="s">
        <v>30</v>
      </c>
      <c r="D1" s="18" t="s">
        <v>35</v>
      </c>
      <c r="E1" s="18" t="s">
        <v>32</v>
      </c>
      <c r="F1" s="19"/>
      <c r="G1" s="19"/>
      <c r="H1" s="19"/>
      <c r="I1" s="19"/>
    </row>
    <row r="2" spans="1:9" x14ac:dyDescent="0.3">
      <c r="A2" s="6" t="s">
        <v>27</v>
      </c>
      <c r="B2" s="7">
        <f>COUNTIFS(clean!D:D,A2,clean!H:H,1)</f>
        <v>3</v>
      </c>
      <c r="D2" s="18" t="s">
        <v>34</v>
      </c>
      <c r="E2" s="19" t="s">
        <v>6</v>
      </c>
      <c r="F2" s="19" t="s">
        <v>14</v>
      </c>
      <c r="G2" s="19" t="s">
        <v>15</v>
      </c>
      <c r="H2" s="19" t="s">
        <v>33</v>
      </c>
      <c r="I2" s="19"/>
    </row>
    <row r="3" spans="1:9" x14ac:dyDescent="0.3">
      <c r="A3" s="6" t="s">
        <v>28</v>
      </c>
      <c r="B3" s="7">
        <f>COUNTIFS(clean!D:D,A3,clean!H:H,1)</f>
        <v>3</v>
      </c>
      <c r="D3" s="19" t="s">
        <v>19</v>
      </c>
      <c r="E3" s="20">
        <v>58.5</v>
      </c>
      <c r="F3" s="20">
        <v>67.5</v>
      </c>
      <c r="G3" s="20">
        <v>75</v>
      </c>
      <c r="H3" s="20">
        <v>67</v>
      </c>
      <c r="I3" s="19"/>
    </row>
    <row r="4" spans="1:9" x14ac:dyDescent="0.3">
      <c r="A4" s="12" t="s">
        <v>29</v>
      </c>
      <c r="B4" s="15">
        <f>COUNTIFS(clean!D:D,A4,clean!H:H,1)</f>
        <v>2</v>
      </c>
      <c r="D4" s="19" t="s">
        <v>22</v>
      </c>
      <c r="E4" s="20">
        <v>51.5</v>
      </c>
      <c r="F4" s="20">
        <v>58</v>
      </c>
      <c r="G4" s="20">
        <v>58.5</v>
      </c>
      <c r="H4" s="20">
        <v>56</v>
      </c>
      <c r="I4" s="19"/>
    </row>
    <row r="5" spans="1:9" x14ac:dyDescent="0.3">
      <c r="D5" s="19" t="s">
        <v>33</v>
      </c>
      <c r="E5" s="20">
        <v>55</v>
      </c>
      <c r="F5" s="20">
        <v>62.75</v>
      </c>
      <c r="G5" s="20">
        <v>66.75</v>
      </c>
      <c r="H5" s="20">
        <v>61.5</v>
      </c>
      <c r="I5" s="19"/>
    </row>
    <row r="8" spans="1:9" x14ac:dyDescent="0.3">
      <c r="B8" t="s">
        <v>31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Marathe</dc:creator>
  <cp:lastModifiedBy>Roshan Marathe</cp:lastModifiedBy>
  <dcterms:created xsi:type="dcterms:W3CDTF">2026-09-25T02:36:52Z</dcterms:created>
  <dcterms:modified xsi:type="dcterms:W3CDTF">2026-10-10T06:05:33Z</dcterms:modified>
</cp:coreProperties>
</file>